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40"/>
  </bookViews>
  <sheets>
    <sheet name="开销" sheetId="1" r:id="rId1"/>
    <sheet name="资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<sst xmlns="http://schemas.openxmlformats.org/spreadsheetml/2006/main" count="56" uniqueCount="52">
  <si>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雷松炬固定项目</t>
  </si>
  <si>
    <t>年花费</t>
  </si>
  <si>
    <t>极限版</t>
  </si>
  <si>
    <t>美玲开销</t>
  </si>
  <si>
    <t>人保险</t>
  </si>
  <si>
    <t>欧阳美玲生活费</t>
  </si>
  <si>
    <t>车险</t>
  </si>
  <si>
    <t>老爸停车费</t>
  </si>
  <si>
    <t>房租</t>
  </si>
  <si>
    <t>油费</t>
  </si>
  <si>
    <t>领袖峰物业费</t>
  </si>
  <si>
    <t>电费</t>
  </si>
  <si>
    <t>家庭基础生活费</t>
  </si>
  <si>
    <t>水费</t>
  </si>
  <si>
    <t>幼儿园学费</t>
  </si>
  <si>
    <t>美术课</t>
  </si>
  <si>
    <t>雷松炬生活费</t>
  </si>
  <si>
    <t>游泳课</t>
  </si>
  <si>
    <t>医疗</t>
  </si>
  <si>
    <t>英语课</t>
  </si>
  <si>
    <t>人情往来</t>
  </si>
  <si>
    <t>跳舞课</t>
  </si>
  <si>
    <t>服装日用</t>
  </si>
  <si>
    <t>车保养维修罚款</t>
  </si>
  <si>
    <t>电子产品折旧杂项</t>
  </si>
  <si>
    <t>合计</t>
  </si>
  <si>
    <t>旅游</t>
  </si>
  <si>
    <t>总计</t>
  </si>
  <si>
    <t>雷松炬单月生活费拆解</t>
  </si>
  <si>
    <t>欧阳美玲单月生活费拆解</t>
  </si>
  <si>
    <t>交通+住宿</t>
  </si>
  <si>
    <t>孩子衣服鞋子</t>
  </si>
  <si>
    <t>饮食</t>
  </si>
  <si>
    <t>绘本玩具</t>
  </si>
  <si>
    <t>通讯费</t>
  </si>
  <si>
    <t>学校活动</t>
  </si>
  <si>
    <t>网费</t>
  </si>
  <si>
    <t>小额医疗</t>
  </si>
  <si>
    <t>党费</t>
  </si>
  <si>
    <t>临时报名</t>
  </si>
  <si>
    <t>AI工具</t>
  </si>
  <si>
    <t>雷松炬</t>
  </si>
  <si>
    <t>资金</t>
  </si>
  <si>
    <t>欧阳美玲</t>
  </si>
  <si>
    <t>支付宝</t>
  </si>
  <si>
    <t>虚拟币</t>
  </si>
  <si>
    <t>招商信用卡</t>
  </si>
  <si>
    <t>小方</t>
  </si>
  <si>
    <t>小荷包</t>
  </si>
  <si>
    <t>建设银行</t>
  </si>
  <si>
    <t>平安金管家</t>
  </si>
  <si>
    <t>荣耀股票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</si>
</sst>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C30" sqref="C30"/>
    </sheetView>
  </sheetViews>
  <sheetFormatPr defaultColWidth="9.23076923076923" defaultRowHeight="16.8" outlineLevelCol="5"/>
  <cols>
    <col min="1" max="1" width="36.8557692307692" style="1" customWidth="1"/>
    <col min="2" max="2" width="18.5961538461538" style="1" customWidth="1"/>
    <col min="3" max="3" width="34.4519230769231" customWidth="1"/>
    <col min="4" max="4" width="34.4519230769231" customWidth="1"/>
    <col min="5" max="5" width="18.2596153846154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1</v>
      </c>
      <c r="F1" s="2" t="s">
        <v>2</v>
      </c>
    </row>
    <row r="2" spans="1:6">
      <c r="A2" s="1" t="s">
        <v>4</v>
      </c>
      <c r="B2" s="3">
        <v>17756.77</v>
      </c>
      <c r="C2" s="3">
        <v>17756.77</v>
      </c>
      <c r="D2" s="1" t="s">
        <v>5</v>
      </c>
      <c r="E2" s="1">
        <v>48000</v>
      </c>
    </row>
    <row r="3" spans="1:6">
      <c r="A3" s="1" t="s">
        <v>6</v>
      </c>
      <c r="B3" s="3">
        <v>5518</v>
      </c>
      <c r="C3" s="3">
        <v>5518</v>
      </c>
      <c r="D3" s="1" t="s">
        <v>7</v>
      </c>
      <c r="E3" s="3">
        <v>3600</v>
      </c>
      <c r="F3" s="3">
        <v>3600</v>
      </c>
    </row>
    <row r="4" spans="1:6">
      <c r="A4" s="1" t="s">
        <v>8</v>
      </c>
      <c r="B4" s="1">
        <v>51600</v>
      </c>
      <c r="C4" s="1">
        <v>33600</v>
      </c>
      <c r="D4" s="1" t="s">
        <v>9</v>
      </c>
      <c r="E4" s="1">
        <v>5000</v>
      </c>
      <c r="F4" s="4">
        <v>2000</v>
      </c>
    </row>
    <row r="5" spans="1:6">
      <c r="A5" s="1" t="s">
        <v>10</v>
      </c>
      <c r="B5" s="1">
        <v>3385</v>
      </c>
      <c r="C5" s="1"/>
      <c r="D5" s="1" t="s">
        <v>11</v>
      </c>
      <c r="E5" s="3">
        <v>5840.9</v>
      </c>
      <c r="F5" s="3">
        <v>5840.9</v>
      </c>
    </row>
    <row r="6" spans="1:6">
      <c r="A6" s="1" t="s">
        <v>12</v>
      </c>
      <c r="B6" s="1">
        <v>60000</v>
      </c>
      <c r="C6" s="1">
        <v>20000</v>
      </c>
      <c r="D6" s="1" t="s">
        <v>13</v>
      </c>
      <c r="E6" s="3">
        <v>1000</v>
      </c>
      <c r="F6" s="3">
        <v>1000</v>
      </c>
    </row>
    <row r="7" spans="1:6">
      <c r="A7" s="1" t="s">
        <v>14</v>
      </c>
      <c r="B7" s="3">
        <v>9900</v>
      </c>
      <c r="C7" s="3">
        <v>9900</v>
      </c>
      <c r="D7" s="1" t="s">
        <v>15</v>
      </c>
      <c r="E7" s="1">
        <v>5500</v>
      </c>
      <c r="F7">
        <f>SUM(F3:F6)</f>
        <v>12440.9</v>
      </c>
    </row>
    <row r="8" spans="1:6">
      <c r="A8" s="1" t="s">
        <v>16</v>
      </c>
      <c r="B8" s="1">
        <v>72000</v>
      </c>
      <c r="C8" s="1"/>
      <c r="D8" s="1" t="s">
        <v>17</v>
      </c>
      <c r="E8" s="1">
        <v>15000</v>
      </c>
    </row>
    <row r="9" spans="1:6">
      <c r="A9" s="1" t="s">
        <v>18</v>
      </c>
      <c r="B9" s="1">
        <v>20000</v>
      </c>
      <c r="C9" s="3">
        <v>5000</v>
      </c>
      <c r="D9" s="1" t="s">
        <v>19</v>
      </c>
      <c r="E9" s="1">
        <v>10400</v>
      </c>
    </row>
    <row r="10" spans="1:6">
      <c r="A10" s="1" t="s">
        <v>20</v>
      </c>
      <c r="B10" s="1">
        <v>5000</v>
      </c>
      <c r="C10" s="1">
        <f>SUM(C2:C9)</f>
        <v>91774.77</v>
      </c>
      <c r="D10" s="1" t="s">
        <v>21</v>
      </c>
      <c r="E10" s="1">
        <v>3640</v>
      </c>
    </row>
    <row r="11" spans="1:6">
      <c r="A11" s="1" t="s">
        <v>22</v>
      </c>
      <c r="B11" s="1">
        <v>5000</v>
      </c>
      <c r="C11" s="1"/>
      <c r="D11" s="1" t="s">
        <v>23</v>
      </c>
      <c r="E11" s="1">
        <v>6000</v>
      </c>
    </row>
    <row r="12" spans="1:6">
      <c r="A12" s="1" t="s">
        <v>24</v>
      </c>
      <c r="B12" s="1">
        <v>10000</v>
      </c>
      <c r="C12" s="1"/>
      <c r="D12" s="1"/>
      <c r="E12" s="1"/>
    </row>
    <row r="13" spans="1:6">
      <c r="A13" s="1" t="s">
        <v>25</v>
      </c>
      <c r="B13" s="1">
        <f>SUM(B2:B12)</f>
        <v>260159.77</v>
      </c>
      <c r="C13" s="1"/>
      <c r="D13" s="1" t="s">
        <v>26</v>
      </c>
      <c r="E13" s="5">
        <v>50000</v>
      </c>
    </row>
    <row r="14" spans="1:6">
      <c r="C14" s="1"/>
      <c r="D14" s="1"/>
      <c r="E14" s="1"/>
    </row>
    <row r="15" spans="1:6">
      <c r="C15" s="1"/>
      <c r="D15" s="1"/>
      <c r="E15" s="1"/>
    </row>
    <row r="16" spans="1:6">
      <c r="C16" s="1"/>
      <c r="D16" s="1" t="s">
        <v>25</v>
      </c>
      <c r="E16" s="1">
        <f>SUM(E2:E15)</f>
        <v>153980.9</v>
      </c>
    </row>
    <row r="17" spans="1:5">
      <c r="C17" s="1"/>
      <c r="D17" s="1"/>
      <c r="E17" s="1"/>
    </row>
    <row r="18" spans="1:5">
      <c r="B18" s="1" t="s">
        <v>27</v>
      </c>
      <c r="C18" s="1"/>
      <c r="D18" s="1">
        <f>B13+E16</f>
        <v>414140.67</v>
      </c>
      <c r="E18" s="1"/>
    </row>
    <row r="19" spans="1:5">
      <c r="C19" s="1"/>
      <c r="D19" s="1"/>
      <c r="E19" s="1"/>
    </row>
    <row r="20" spans="1:5">
      <c r="C20" s="1"/>
      <c r="D20" s="1"/>
      <c r="E20" s="1"/>
    </row>
    <row r="21" spans="1:5">
      <c r="A21" s="1" t="s">
        <v>28</v>
      </c>
      <c r="C21" s="1"/>
      <c r="D21" s="1" t="s">
        <v>29</v>
      </c>
      <c r="E21" s="1"/>
    </row>
    <row r="22" spans="1:5">
      <c r="A22" s="1" t="s">
        <v>30</v>
      </c>
      <c r="B22" s="1">
        <v>3000</v>
      </c>
      <c r="D22" t="s">
        <v>31</v>
      </c>
    </row>
    <row r="23" spans="1:5">
      <c r="A23" s="1" t="s">
        <v>32</v>
      </c>
      <c r="B23" s="1">
        <v>2000</v>
      </c>
      <c r="D23" t="s">
        <v>33</v>
      </c>
    </row>
    <row r="24" spans="1:5">
      <c r="A24" s="1" t="s">
        <v>34</v>
      </c>
      <c r="B24" s="1">
        <v>60</v>
      </c>
      <c r="D24" t="s">
        <v>35</v>
      </c>
    </row>
    <row r="25" spans="1:5">
      <c r="A25" s="1" t="s">
        <v>36</v>
      </c>
      <c r="B25" s="1">
        <v>50</v>
      </c>
      <c r="D25" t="s">
        <v>37</v>
      </c>
    </row>
    <row r="26" spans="1:5">
      <c r="A26" s="1" t="s">
        <v>38</v>
      </c>
      <c r="B26" s="1">
        <v>50</v>
      </c>
      <c r="D26" t="s">
        <v>39</v>
      </c>
    </row>
    <row r="27" spans="1:5">
      <c r="A27" s="1" t="s">
        <v>40</v>
      </c>
      <c r="B27" s="1">
        <v>300</v>
      </c>
    </row>
  </sheetData>
  <mergeCells count="2">
    <mergeCell ref="A21:B21"/>
    <mergeCell ref="D21:E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D4" sqref="D4"/>
    </sheetView>
  </sheetViews>
  <sheetFormatPr defaultColWidth="9.23076923076923" defaultRowHeight="16.8" outlineLevelCol="4"/>
  <cols>
    <col min="1" max="1" width="14.2596153846154" customWidth="1"/>
    <col min="2" max="2" width="10.6923076923077"/>
  </cols>
  <sheetData>
    <row r="1" spans="1:5">
      <c r="A1" t="s">
        <v>41</v>
      </c>
      <c r="B1" t="s">
        <v>42</v>
      </c>
      <c r="D1" t="s">
        <v>43</v>
      </c>
    </row>
    <row r="2" spans="1:5">
      <c r="A2" t="s">
        <v>44</v>
      </c>
      <c r="B2">
        <v>7605</v>
      </c>
      <c r="D2" t="s">
        <v>45</v>
      </c>
      <c r="E2">
        <v>19072</v>
      </c>
    </row>
    <row r="3" spans="1:5">
      <c r="A3" t="s">
        <v>46</v>
      </c>
      <c r="B3">
        <v>162390.42</v>
      </c>
      <c r="D3" t="s">
        <v>47</v>
      </c>
      <c r="E3">
        <v>11000</v>
      </c>
    </row>
    <row r="4" spans="1:5">
      <c r="A4" t="s">
        <v>48</v>
      </c>
      <c r="B4">
        <v>9291.49</v>
      </c>
    </row>
    <row r="5" spans="1:5">
      <c r="A5" t="s">
        <v>45</v>
      </c>
      <c r="B5">
        <v>17150.4</v>
      </c>
    </row>
    <row r="6" spans="1:5">
      <c r="A6" t="s">
        <v>49</v>
      </c>
      <c r="B6">
        <v>5823</v>
      </c>
    </row>
    <row r="7" spans="1:5">
      <c r="A7" t="s">
        <v>50</v>
      </c>
      <c r="B7">
        <v>110357.28</v>
      </c>
    </row>
    <row r="8" spans="1:5">
      <c r="A8" t="s">
        <v>51</v>
      </c>
      <c r="B8">
        <v>400000</v>
      </c>
    </row>
    <row r="9" spans="1:5">
      <c r="B9">
        <f>SUM(B2:B8)</f>
        <v>712617.59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开销</vt:lpstr>
      <vt:lpstr>资产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leisongju</dc:creator>
  <cp:lastModifiedBy>雷松炬</cp:lastModifiedBy>
  <dcterms:created xsi:type="dcterms:W3CDTF">2026-04-19T21:11:11Z</dcterms:created>
  <dcterms:modified xsi:type="dcterms:W3CDTF">2026-04-19T22:49:12Z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CF31E286020F66456FD4E469A20F70E8_41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